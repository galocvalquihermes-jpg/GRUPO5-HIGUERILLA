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cBook Pro\Downloads\"/>
    </mc:Choice>
  </mc:AlternateContent>
  <xr:revisionPtr revIDLastSave="0" documentId="13_ncr:1_{62F49B50-23AE-4B9B-8D18-0422C53183F8}" xr6:coauthVersionLast="47" xr6:coauthVersionMax="47" xr10:uidLastSave="{00000000-0000-0000-0000-000000000000}"/>
  <bookViews>
    <workbookView xWindow="-120" yWindow="-120" windowWidth="19440" windowHeight="11640" activeTab="7" xr2:uid="{00000000-000D-0000-FFFF-FFFF00000000}"/>
  </bookViews>
  <sheets>
    <sheet name="info" sheetId="1" r:id="rId1"/>
    <sheet name="traits" sheetId="2" r:id="rId2"/>
    <sheet name="design" sheetId="3" r:id="rId3"/>
    <sheet name="logbook" sheetId="4" r:id="rId4"/>
    <sheet name="schedule" sheetId="5" r:id="rId5"/>
    <sheet name="budget" sheetId="6" r:id="rId6"/>
    <sheet name="fb" sheetId="7" r:id="rId7"/>
    <sheet name="sketch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" i="7" l="1"/>
  <c r="X17" i="7"/>
  <c r="Y16" i="7"/>
  <c r="X16" i="7"/>
  <c r="Y15" i="7"/>
  <c r="X15" i="7"/>
  <c r="Y14" i="7"/>
  <c r="X14" i="7"/>
  <c r="Y13" i="7"/>
  <c r="X13" i="7"/>
  <c r="Y12" i="7"/>
  <c r="X12" i="7"/>
  <c r="Y11" i="7"/>
  <c r="X11" i="7"/>
  <c r="Y10" i="7"/>
  <c r="X10" i="7"/>
  <c r="Y9" i="7"/>
  <c r="X9" i="7"/>
  <c r="Y8" i="7"/>
  <c r="X8" i="7"/>
  <c r="Y7" i="7"/>
  <c r="X7" i="7"/>
  <c r="Y6" i="7"/>
  <c r="X6" i="7"/>
  <c r="Y5" i="7"/>
  <c r="X5" i="7"/>
  <c r="Y4" i="7"/>
  <c r="X4" i="7"/>
  <c r="Y3" i="7"/>
  <c r="X3" i="7"/>
  <c r="Y2" i="7"/>
  <c r="X2" i="7"/>
</calcChain>
</file>

<file path=xl/sharedStrings.xml><?xml version="1.0" encoding="utf-8"?>
<sst xmlns="http://schemas.openxmlformats.org/spreadsheetml/2006/main" count="342" uniqueCount="227">
  <si>
    <t>PLEX</t>
  </si>
  <si>
    <t>INFORMATION</t>
  </si>
  <si>
    <t>TITLE</t>
  </si>
  <si>
    <t>Escarificación de semillas de higuerilla</t>
  </si>
  <si>
    <t>OBJECTIVES</t>
  </si>
  <si>
    <r>
      <rPr>
        <sz val="10"/>
        <color theme="1"/>
        <rFont val="Arial"/>
      </rPr>
      <t>Evaluar el efecto de diferentes métodos de escarificación sobre la germinación y emergencia de semillas de higuerilla (</t>
    </r>
    <r>
      <rPr>
        <i/>
        <sz val="10"/>
        <color theme="1"/>
        <rFont val="Arial"/>
      </rPr>
      <t>Ricinus communis</t>
    </r>
    <r>
      <rPr>
        <sz val="10"/>
        <color theme="1"/>
        <rFont val="Arial"/>
      </rPr>
      <t>).</t>
    </r>
  </si>
  <si>
    <t>HYPOTHESIS</t>
  </si>
  <si>
    <t>La escarificación mejora el porcentaje y la velocidad de germinación de las semillas de higuerilla.</t>
  </si>
  <si>
    <t>RATIONALE</t>
  </si>
  <si>
    <t/>
  </si>
  <si>
    <t>REFERENCES</t>
  </si>
  <si>
    <t>PLAN</t>
  </si>
  <si>
    <t>INSTITUTIONS</t>
  </si>
  <si>
    <t>RESEARCHERS</t>
  </si>
  <si>
    <t>MANAGER</t>
  </si>
  <si>
    <t>GRUPO 5</t>
  </si>
  <si>
    <t>LOCATION</t>
  </si>
  <si>
    <t>Chachapoyas-Amazonas</t>
  </si>
  <si>
    <t>ALTITUDE</t>
  </si>
  <si>
    <t>GEOREFERENCING</t>
  </si>
  <si>
    <t>ENVIRONMENT</t>
  </si>
  <si>
    <t>Laboratory</t>
  </si>
  <si>
    <t>START EXPERIMENT</t>
  </si>
  <si>
    <t>2026-05-11</t>
  </si>
  <si>
    <t>END EXPERIMENT</t>
  </si>
  <si>
    <t>2026-08-09</t>
  </si>
  <si>
    <t>ABOUT</t>
  </si>
  <si>
    <t>ESCARIFICACION-DE-SEMILLAS</t>
  </si>
  <si>
    <t>FIELDBOOK NAME</t>
  </si>
  <si>
    <t>CHACHAPOYAS_2026-05-11_ESCARIFICACION-DE-SEMILLAS</t>
  </si>
  <si>
    <t>PROJECT</t>
  </si>
  <si>
    <t>GITHUB</t>
  </si>
  <si>
    <t>MANUSCRIPT</t>
  </si>
  <si>
    <t>ALBUM</t>
  </si>
  <si>
    <t>variable</t>
  </si>
  <si>
    <t>{trait}</t>
  </si>
  <si>
    <t>{when}</t>
  </si>
  <si>
    <t>{samples}</t>
  </si>
  <si>
    <t>{format}</t>
  </si>
  <si>
    <t>units</t>
  </si>
  <si>
    <t>details</t>
  </si>
  <si>
    <t>categories</t>
  </si>
  <si>
    <t>germinacion</t>
  </si>
  <si>
    <t>ger</t>
  </si>
  <si>
    <t>numeric</t>
  </si>
  <si>
    <t>conteo</t>
  </si>
  <si>
    <t xml:space="preserve">porcentaje de germinacion </t>
  </si>
  <si>
    <t>pg</t>
  </si>
  <si>
    <t>%</t>
  </si>
  <si>
    <t>velocidad de germinación</t>
  </si>
  <si>
    <t>vg</t>
  </si>
  <si>
    <t>semillas/día</t>
  </si>
  <si>
    <t>{arguments}</t>
  </si>
  <si>
    <t>{values}</t>
  </si>
  <si>
    <t>escarificación</t>
  </si>
  <si>
    <t>nfactors</t>
  </si>
  <si>
    <t>1</t>
  </si>
  <si>
    <t>mecánica (lijado)</t>
  </si>
  <si>
    <t>type</t>
  </si>
  <si>
    <t>crd</t>
  </si>
  <si>
    <t>térmica</t>
  </si>
  <si>
    <t>rep</t>
  </si>
  <si>
    <t>4</t>
  </si>
  <si>
    <t>mecánica manual (bisturí)</t>
  </si>
  <si>
    <t>zigzag</t>
  </si>
  <si>
    <t>FALSE</t>
  </si>
  <si>
    <t>control</t>
  </si>
  <si>
    <t>nrows</t>
  </si>
  <si>
    <t>serie</t>
  </si>
  <si>
    <t>1000</t>
  </si>
  <si>
    <t>seed</t>
  </si>
  <si>
    <t>9165</t>
  </si>
  <si>
    <t>fbname</t>
  </si>
  <si>
    <t>CHACHAPOYAS_2026-05-11</t>
  </si>
  <si>
    <t>qrcode</t>
  </si>
  <si>
    <t>{fbname}{plots}{factors}</t>
  </si>
  <si>
    <t>Date</t>
  </si>
  <si>
    <t>DAI</t>
  </si>
  <si>
    <t>Activity</t>
  </si>
  <si>
    <t>Description</t>
  </si>
  <si>
    <t>Init experiment</t>
  </si>
  <si>
    <t>Day After Initiation (DAI) of experiment.</t>
  </si>
  <si>
    <t>Dates</t>
  </si>
  <si>
    <t>11/Abr.</t>
  </si>
  <si>
    <t>16/Abr.</t>
  </si>
  <si>
    <t>21/Abr.</t>
  </si>
  <si>
    <t>26/Abr.</t>
  </si>
  <si>
    <t>01/May.</t>
  </si>
  <si>
    <t>06/May.</t>
  </si>
  <si>
    <t>11/May.</t>
  </si>
  <si>
    <t>16/May.</t>
  </si>
  <si>
    <t>21/May.</t>
  </si>
  <si>
    <t>26/May.</t>
  </si>
  <si>
    <t>31/May.</t>
  </si>
  <si>
    <t>05/Jun.</t>
  </si>
  <si>
    <t>10/Jun.</t>
  </si>
  <si>
    <t>15/Jun.</t>
  </si>
  <si>
    <t>20/Jun.</t>
  </si>
  <si>
    <t>25/Jun.</t>
  </si>
  <si>
    <t>30/Jun.</t>
  </si>
  <si>
    <t>05/Jul.</t>
  </si>
  <si>
    <t>10/Jul.</t>
  </si>
  <si>
    <t>15/Jul.</t>
  </si>
  <si>
    <t>20/Jul.</t>
  </si>
  <si>
    <t>25/Jul.</t>
  </si>
  <si>
    <t>30/Jul.</t>
  </si>
  <si>
    <t>04/Ago.</t>
  </si>
  <si>
    <t>09/Ago.</t>
  </si>
  <si>
    <t>Activities (DAI)</t>
  </si>
  <si>
    <t>Material Preparation</t>
  </si>
  <si>
    <t>Evaluation</t>
  </si>
  <si>
    <t>Data processing</t>
  </si>
  <si>
    <t>Category</t>
  </si>
  <si>
    <t>Unit</t>
  </si>
  <si>
    <t>Quantity</t>
  </si>
  <si>
    <t>Unit Cost</t>
  </si>
  <si>
    <t>Total Cost</t>
  </si>
  <si>
    <t>Technical Specifications</t>
  </si>
  <si>
    <t>Justification</t>
  </si>
  <si>
    <t>Reference</t>
  </si>
  <si>
    <t>Supplies</t>
  </si>
  <si>
    <t>Seeds</t>
  </si>
  <si>
    <t>Variety, purity, germination (%)</t>
  </si>
  <si>
    <t>Essential for experimental cultivation</t>
  </si>
  <si>
    <t>&lt;link to info&gt;</t>
  </si>
  <si>
    <t>Fertilizers</t>
  </si>
  <si>
    <t>Chemical composition (NPK, etc.)</t>
  </si>
  <si>
    <t>Provides essential nutrients for growth</t>
  </si>
  <si>
    <t>Phytosanitary products</t>
  </si>
  <si>
    <t>Active ingredient, concentration</t>
  </si>
  <si>
    <t>Prevents pests and diseases</t>
  </si>
  <si>
    <t>Materials</t>
  </si>
  <si>
    <t>Substrate (soil, sand, etc.)</t>
  </si>
  <si>
    <t>kg</t>
  </si>
  <si>
    <t>Soil type, pH, electrical conductivity</t>
  </si>
  <si>
    <t>Necessary for seed germination</t>
  </si>
  <si>
    <t>Laboratory materials (pipettes, Petri dishes, etc.)</t>
  </si>
  <si>
    <t>Brand, capacity, material</t>
  </si>
  <si>
    <t>For precise measurements and laboratory cultivation</t>
  </si>
  <si>
    <t>Equipment</t>
  </si>
  <si>
    <t>Measuring instruments (sensors, scales, etc.)</t>
  </si>
  <si>
    <t>Precision, measurement range</t>
  </si>
  <si>
    <t>Measurement of environmental and growth variables</t>
  </si>
  <si>
    <t>Tools</t>
  </si>
  <si>
    <t>Field tools</t>
  </si>
  <si>
    <t>Type of tool, material</t>
  </si>
  <si>
    <t>For crop management in the field</t>
  </si>
  <si>
    <t>Software or programs for data analysis</t>
  </si>
  <si>
    <t>Software name, license, compatibility</t>
  </si>
  <si>
    <t>Processing and analysis of experimental data</t>
  </si>
  <si>
    <t>Human Resources</t>
  </si>
  <si>
    <t>Researchers</t>
  </si>
  <si>
    <t>months</t>
  </si>
  <si>
    <t>Level of specialization, required hours</t>
  </si>
  <si>
    <t>Specialized personnel for design and analysis</t>
  </si>
  <si>
    <t>Laboratory technicians</t>
  </si>
  <si>
    <t>Specialization, certification</t>
  </si>
  <si>
    <t>Technical assistance for experiment management</t>
  </si>
  <si>
    <t>Field workers</t>
  </si>
  <si>
    <t>day</t>
  </si>
  <si>
    <t>Experience, skills</t>
  </si>
  <si>
    <t>Implementation and management of field experiments</t>
  </si>
  <si>
    <t>Transport and Logistics</t>
  </si>
  <si>
    <t>Equipment transport</t>
  </si>
  <si>
    <t>trips</t>
  </si>
  <si>
    <t>Type of vehicle, distance</t>
  </si>
  <si>
    <t>Transport of necessary equipment to the experimental site</t>
  </si>
  <si>
    <t>Personnel transport</t>
  </si>
  <si>
    <t>Number of people, distance</t>
  </si>
  <si>
    <t>Transport of personnel to the experimental site</t>
  </si>
  <si>
    <t>Services</t>
  </si>
  <si>
    <t>Sequencing</t>
  </si>
  <si>
    <t>samples</t>
  </si>
  <si>
    <t>Type of sequencing, number of samples</t>
  </si>
  <si>
    <t>Genetic analysis of samples</t>
  </si>
  <si>
    <t>Article publication</t>
  </si>
  <si>
    <t>articles</t>
  </si>
  <si>
    <t>Journal, impact level</t>
  </si>
  <si>
    <t>Publication of experimental results</t>
  </si>
  <si>
    <t>Other</t>
  </si>
  <si>
    <t>Electricity</t>
  </si>
  <si>
    <t>Kilowatt per month</t>
  </si>
  <si>
    <t>Power supply for laboratory and field equipment</t>
  </si>
  <si>
    <t>General services</t>
  </si>
  <si>
    <t>Service details</t>
  </si>
  <si>
    <t>Necessary for general experiment maintenance</t>
  </si>
  <si>
    <t>Administrative expenses</t>
  </si>
  <si>
    <t>Details of administrative expenses</t>
  </si>
  <si>
    <t>Administration and management of the experimental project</t>
  </si>
  <si>
    <t>plots</t>
  </si>
  <si>
    <t>ntreat</t>
  </si>
  <si>
    <t>sort</t>
  </si>
  <si>
    <t>seeds</t>
  </si>
  <si>
    <t>rows</t>
  </si>
  <si>
    <t>cols</t>
  </si>
  <si>
    <t>ger_0</t>
  </si>
  <si>
    <t>ger_1</t>
  </si>
  <si>
    <t>ger_2</t>
  </si>
  <si>
    <t>ger_3</t>
  </si>
  <si>
    <t>ger_4</t>
  </si>
  <si>
    <t>ger_5</t>
  </si>
  <si>
    <t>ger_6</t>
  </si>
  <si>
    <t>ger_7</t>
  </si>
  <si>
    <t>ger_8</t>
  </si>
  <si>
    <t>ger_9</t>
  </si>
  <si>
    <t>ger_10</t>
  </si>
  <si>
    <t>ger_11</t>
  </si>
  <si>
    <t>ger_12</t>
  </si>
  <si>
    <t>ger_13</t>
  </si>
  <si>
    <t>CHACHAPOYAS_2026-05-11_1001_control</t>
  </si>
  <si>
    <t>CHACHAPOYAS_2026-05-11_1002_térmica</t>
  </si>
  <si>
    <t>CHACHAPOYAS_2026-05-11_1003_térmica</t>
  </si>
  <si>
    <t>CHACHAPOYAS_2026-05-11_1004_térmica</t>
  </si>
  <si>
    <t>CHACHAPOYAS_2026-05-11_1005_térmica</t>
  </si>
  <si>
    <t>CHACHAPOYAS_2026-05-11_1006_control</t>
  </si>
  <si>
    <t>CHACHAPOYAS_2026-05-11_1007_mecánica.(lijado)</t>
  </si>
  <si>
    <t>mecánica.(lijado)</t>
  </si>
  <si>
    <t>CHACHAPOYAS_2026-05-11_1008_mecánica.(lijado)</t>
  </si>
  <si>
    <t>CHACHAPOYAS_2026-05-11_1009_mecánica.manual.(bisturí)</t>
  </si>
  <si>
    <t>mecánica.manual.(bisturí)</t>
  </si>
  <si>
    <t>CHACHAPOYAS_2026-05-11_1010_mecánica.manual.(bisturí)</t>
  </si>
  <si>
    <t>CHACHAPOYAS_2026-05-11_1011_control</t>
  </si>
  <si>
    <t>CHACHAPOYAS_2026-05-11_1012_mecánica.manual.(bisturí)</t>
  </si>
  <si>
    <t>CHACHAPOYAS_2026-05-11_1013_control</t>
  </si>
  <si>
    <t>CHACHAPOYAS_2026-05-11_1014_mecánica.(lijado)</t>
  </si>
  <si>
    <t>CHACHAPOYAS_2026-05-11_1015_mecánica.(lijado)</t>
  </si>
  <si>
    <t>CHACHAPOYAS_2026-05-11_1016_mecánica.manual.(bisturí)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</si>
</sst>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theme="6" tint="0.39997558519241921"/>
        <bgColor rgb="FFEAEAEA"/>
      </patternFill>
    </fill>
    <fill>
      <patternFill patternType="solid">
        <fgColor theme="8" tint="0.39997558519241921"/>
        <bgColor rgb="FFEAEAEA"/>
      </patternFill>
    </fill>
    <fill>
      <patternFill patternType="solid">
        <fgColor theme="5" tint="0.59999389629810485"/>
        <bgColor rgb="FFEAEAEA"/>
      </patternFill>
    </fill>
    <fill>
      <patternFill patternType="solid">
        <fgColor theme="4" tint="0.59999389629810485"/>
        <bgColor rgb="FFEAEAEA"/>
      </patternFill>
    </fill>
    <fill>
      <patternFill patternType="solid">
        <fgColor theme="7" tint="0.59999389629810485"/>
        <b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3" fillId="0" borderId="0" xfId="0" applyFont="1" applyAlignment="1">
      <alignment horizontal="right"/>
    </xf>
    <xf numFmtId="2" fontId="2" fillId="0" borderId="0" xfId="0" applyNumberFormat="1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2"/>
  <sheetViews>
    <sheetView workbookViewId="0">
      <pane ySplit="1" topLeftCell="A2" activePane="bottomLeft" state="frozen"/>
      <selection pane="bottomLeft" activeCell="B10" sqref="B10"/>
    </sheetView>
  </sheetViews>
  <sheetFormatPr baseColWidth="10" defaultColWidth="12.5703125" defaultRowHeight="15.75" customHeight="1" x14ac:dyDescent="0.2"/>
  <cols>
    <col min="2" max="2" width="115.8554687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2.75" x14ac:dyDescent="0.2">
      <c r="A2" s="2" t="s">
        <v>2</v>
      </c>
      <c r="B2" s="2" t="s">
        <v>3</v>
      </c>
    </row>
    <row r="3" spans="1:2" ht="12.75" x14ac:dyDescent="0.2">
      <c r="A3" s="2" t="s">
        <v>4</v>
      </c>
      <c r="B3" s="2" t="s">
        <v>5</v>
      </c>
    </row>
    <row r="4" spans="1:2" ht="12.75" x14ac:dyDescent="0.2">
      <c r="A4" s="2" t="s">
        <v>6</v>
      </c>
      <c r="B4" s="2" t="s">
        <v>7</v>
      </c>
    </row>
    <row r="5" spans="1:2" ht="12.75" x14ac:dyDescent="0.2">
      <c r="A5" s="2" t="s">
        <v>8</v>
      </c>
      <c r="B5" s="2" t="s">
        <v>9</v>
      </c>
    </row>
    <row r="6" spans="1:2" ht="12.75" x14ac:dyDescent="0.2">
      <c r="A6" s="2" t="s">
        <v>10</v>
      </c>
      <c r="B6" s="2" t="s">
        <v>9</v>
      </c>
    </row>
    <row r="7" spans="1:2" ht="12.75" x14ac:dyDescent="0.2">
      <c r="A7" s="2" t="s">
        <v>11</v>
      </c>
      <c r="B7" s="2" t="s">
        <v>9</v>
      </c>
    </row>
    <row r="8" spans="1:2" ht="12.75" x14ac:dyDescent="0.2">
      <c r="A8" s="2" t="s">
        <v>12</v>
      </c>
      <c r="B8" s="2" t="s">
        <v>9</v>
      </c>
    </row>
    <row r="9" spans="1:2" ht="12.75" x14ac:dyDescent="0.2">
      <c r="A9" s="2" t="s">
        <v>13</v>
      </c>
      <c r="B9" s="2" t="s">
        <v>9</v>
      </c>
    </row>
    <row r="10" spans="1:2" ht="12.75" x14ac:dyDescent="0.2">
      <c r="A10" s="2" t="s">
        <v>14</v>
      </c>
      <c r="B10" s="2" t="s">
        <v>15</v>
      </c>
    </row>
    <row r="11" spans="1:2" ht="12.75" x14ac:dyDescent="0.2">
      <c r="A11" s="2" t="s">
        <v>16</v>
      </c>
      <c r="B11" s="2" t="s">
        <v>17</v>
      </c>
    </row>
    <row r="12" spans="1:2" ht="12.75" x14ac:dyDescent="0.2">
      <c r="A12" s="2" t="s">
        <v>18</v>
      </c>
      <c r="B12" s="2" t="s">
        <v>9</v>
      </c>
    </row>
    <row r="13" spans="1:2" ht="12.75" x14ac:dyDescent="0.2">
      <c r="A13" s="2" t="s">
        <v>19</v>
      </c>
      <c r="B13" s="2" t="s">
        <v>9</v>
      </c>
    </row>
    <row r="14" spans="1:2" ht="12.75" x14ac:dyDescent="0.2">
      <c r="A14" s="2" t="s">
        <v>20</v>
      </c>
      <c r="B14" s="2" t="s">
        <v>21</v>
      </c>
    </row>
    <row r="15" spans="1:2" ht="12.75" x14ac:dyDescent="0.2">
      <c r="A15" s="2" t="s">
        <v>22</v>
      </c>
      <c r="B15" s="3" t="s">
        <v>23</v>
      </c>
    </row>
    <row r="16" spans="1:2" ht="12.75" x14ac:dyDescent="0.2">
      <c r="A16" s="2" t="s">
        <v>24</v>
      </c>
      <c r="B16" s="3" t="s">
        <v>25</v>
      </c>
    </row>
    <row r="17" spans="1:2" ht="12.75" x14ac:dyDescent="0.2">
      <c r="A17" s="2" t="s">
        <v>26</v>
      </c>
      <c r="B17" s="2" t="s">
        <v>27</v>
      </c>
    </row>
    <row r="18" spans="1:2" ht="12.75" x14ac:dyDescent="0.2">
      <c r="A18" s="2" t="s">
        <v>28</v>
      </c>
      <c r="B18" s="2" t="s">
        <v>29</v>
      </c>
    </row>
    <row r="19" spans="1:2" ht="12.75" x14ac:dyDescent="0.2">
      <c r="A19" s="2" t="s">
        <v>30</v>
      </c>
      <c r="B19" s="2" t="s">
        <v>9</v>
      </c>
    </row>
    <row r="20" spans="1:2" ht="12.75" x14ac:dyDescent="0.2">
      <c r="A20" s="2" t="s">
        <v>31</v>
      </c>
      <c r="B20" s="2" t="s">
        <v>9</v>
      </c>
    </row>
    <row r="21" spans="1:2" ht="12.75" x14ac:dyDescent="0.2">
      <c r="A21" s="2" t="s">
        <v>32</v>
      </c>
      <c r="B21" s="2" t="s">
        <v>9</v>
      </c>
    </row>
    <row r="22" spans="1:2" ht="12.75" x14ac:dyDescent="0.2">
      <c r="A22" s="2" t="s">
        <v>33</v>
      </c>
      <c r="B22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22.5703125" customWidth="1"/>
  </cols>
  <sheetData>
    <row r="1" spans="1:8" ht="15.75" customHeight="1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ht="12.75" x14ac:dyDescent="0.2">
      <c r="A2" s="4" t="s">
        <v>42</v>
      </c>
      <c r="B2" s="4" t="s">
        <v>43</v>
      </c>
      <c r="C2" s="5">
        <v>0</v>
      </c>
      <c r="D2" s="5">
        <v>1</v>
      </c>
      <c r="E2" s="4" t="s">
        <v>44</v>
      </c>
      <c r="F2" s="2" t="s">
        <v>45</v>
      </c>
    </row>
    <row r="3" spans="1:8" ht="12.75" x14ac:dyDescent="0.2">
      <c r="A3" s="4" t="s">
        <v>42</v>
      </c>
      <c r="B3" s="4" t="s">
        <v>43</v>
      </c>
      <c r="C3" s="5">
        <v>1</v>
      </c>
      <c r="D3" s="5">
        <v>1</v>
      </c>
      <c r="E3" s="4" t="s">
        <v>44</v>
      </c>
      <c r="F3" s="2" t="s">
        <v>45</v>
      </c>
    </row>
    <row r="4" spans="1:8" ht="12.75" x14ac:dyDescent="0.2">
      <c r="A4" s="4" t="s">
        <v>42</v>
      </c>
      <c r="B4" s="4" t="s">
        <v>43</v>
      </c>
      <c r="C4" s="5">
        <v>2</v>
      </c>
      <c r="D4" s="5">
        <v>1</v>
      </c>
      <c r="E4" s="4" t="s">
        <v>44</v>
      </c>
      <c r="F4" s="2" t="s">
        <v>45</v>
      </c>
    </row>
    <row r="5" spans="1:8" ht="12.75" x14ac:dyDescent="0.2">
      <c r="A5" s="4" t="s">
        <v>42</v>
      </c>
      <c r="B5" s="4" t="s">
        <v>43</v>
      </c>
      <c r="C5" s="5">
        <v>3</v>
      </c>
      <c r="D5" s="5">
        <v>1</v>
      </c>
      <c r="E5" s="4" t="s">
        <v>44</v>
      </c>
      <c r="F5" s="2" t="s">
        <v>45</v>
      </c>
    </row>
    <row r="6" spans="1:8" ht="12.75" x14ac:dyDescent="0.2">
      <c r="A6" s="4" t="s">
        <v>42</v>
      </c>
      <c r="B6" s="4" t="s">
        <v>43</v>
      </c>
      <c r="C6" s="5">
        <v>4</v>
      </c>
      <c r="D6" s="5">
        <v>1</v>
      </c>
      <c r="E6" s="4" t="s">
        <v>44</v>
      </c>
      <c r="F6" s="2" t="s">
        <v>45</v>
      </c>
    </row>
    <row r="7" spans="1:8" ht="12.75" x14ac:dyDescent="0.2">
      <c r="A7" s="4" t="s">
        <v>42</v>
      </c>
      <c r="B7" s="4" t="s">
        <v>43</v>
      </c>
      <c r="C7" s="5">
        <v>5</v>
      </c>
      <c r="D7" s="5">
        <v>1</v>
      </c>
      <c r="E7" s="4" t="s">
        <v>44</v>
      </c>
      <c r="F7" s="2" t="s">
        <v>45</v>
      </c>
    </row>
    <row r="8" spans="1:8" ht="12.75" x14ac:dyDescent="0.2">
      <c r="A8" s="4" t="s">
        <v>42</v>
      </c>
      <c r="B8" s="4" t="s">
        <v>43</v>
      </c>
      <c r="C8" s="5">
        <v>6</v>
      </c>
      <c r="D8" s="5">
        <v>1</v>
      </c>
      <c r="E8" s="4" t="s">
        <v>44</v>
      </c>
      <c r="F8" s="2" t="s">
        <v>45</v>
      </c>
    </row>
    <row r="9" spans="1:8" ht="12.75" x14ac:dyDescent="0.2">
      <c r="A9" s="4" t="s">
        <v>42</v>
      </c>
      <c r="B9" s="4" t="s">
        <v>43</v>
      </c>
      <c r="C9" s="5">
        <v>7</v>
      </c>
      <c r="D9" s="5">
        <v>1</v>
      </c>
      <c r="E9" s="4" t="s">
        <v>44</v>
      </c>
      <c r="F9" s="2" t="s">
        <v>45</v>
      </c>
    </row>
    <row r="10" spans="1:8" ht="12.75" x14ac:dyDescent="0.2">
      <c r="A10" s="4" t="s">
        <v>42</v>
      </c>
      <c r="B10" s="4" t="s">
        <v>43</v>
      </c>
      <c r="C10" s="5">
        <v>8</v>
      </c>
      <c r="D10" s="5">
        <v>1</v>
      </c>
      <c r="E10" s="4" t="s">
        <v>44</v>
      </c>
      <c r="F10" s="2" t="s">
        <v>45</v>
      </c>
    </row>
    <row r="11" spans="1:8" ht="12.75" x14ac:dyDescent="0.2">
      <c r="A11" s="4" t="s">
        <v>42</v>
      </c>
      <c r="B11" s="4" t="s">
        <v>43</v>
      </c>
      <c r="C11" s="5">
        <v>9</v>
      </c>
      <c r="D11" s="5">
        <v>1</v>
      </c>
      <c r="E11" s="4" t="s">
        <v>44</v>
      </c>
      <c r="F11" s="2" t="s">
        <v>45</v>
      </c>
    </row>
    <row r="12" spans="1:8" ht="12.75" x14ac:dyDescent="0.2">
      <c r="A12" s="4" t="s">
        <v>42</v>
      </c>
      <c r="B12" s="4" t="s">
        <v>43</v>
      </c>
      <c r="C12" s="5">
        <v>10</v>
      </c>
      <c r="D12" s="5">
        <v>1</v>
      </c>
      <c r="E12" s="4" t="s">
        <v>44</v>
      </c>
      <c r="F12" s="2" t="s">
        <v>45</v>
      </c>
    </row>
    <row r="13" spans="1:8" ht="12.75" x14ac:dyDescent="0.2">
      <c r="A13" s="4" t="s">
        <v>42</v>
      </c>
      <c r="B13" s="4" t="s">
        <v>43</v>
      </c>
      <c r="C13" s="5">
        <v>11</v>
      </c>
      <c r="D13" s="5">
        <v>1</v>
      </c>
      <c r="E13" s="4" t="s">
        <v>44</v>
      </c>
      <c r="F13" s="2" t="s">
        <v>45</v>
      </c>
    </row>
    <row r="14" spans="1:8" ht="12.75" x14ac:dyDescent="0.2">
      <c r="A14" s="4" t="s">
        <v>42</v>
      </c>
      <c r="B14" s="4" t="s">
        <v>43</v>
      </c>
      <c r="C14" s="5">
        <v>12</v>
      </c>
      <c r="D14" s="5">
        <v>1</v>
      </c>
      <c r="E14" s="4" t="s">
        <v>44</v>
      </c>
      <c r="F14" s="2" t="s">
        <v>45</v>
      </c>
    </row>
    <row r="15" spans="1:8" ht="12.75" x14ac:dyDescent="0.2">
      <c r="A15" s="4" t="s">
        <v>42</v>
      </c>
      <c r="B15" s="4" t="s">
        <v>43</v>
      </c>
      <c r="C15" s="2">
        <v>13</v>
      </c>
      <c r="D15" s="2">
        <v>1</v>
      </c>
      <c r="E15" s="2" t="s">
        <v>44</v>
      </c>
    </row>
    <row r="16" spans="1:8" ht="12.75" x14ac:dyDescent="0.2">
      <c r="A16" s="2" t="s">
        <v>46</v>
      </c>
      <c r="B16" s="2" t="s">
        <v>47</v>
      </c>
      <c r="C16" s="2">
        <v>13</v>
      </c>
      <c r="D16" s="2">
        <v>1</v>
      </c>
      <c r="E16" s="2" t="s">
        <v>44</v>
      </c>
      <c r="F16" s="2" t="s">
        <v>48</v>
      </c>
    </row>
    <row r="17" spans="1:6" ht="12.75" x14ac:dyDescent="0.2">
      <c r="A17" s="2" t="s">
        <v>49</v>
      </c>
      <c r="B17" s="2" t="s">
        <v>50</v>
      </c>
      <c r="C17" s="2">
        <v>13</v>
      </c>
      <c r="D17" s="2">
        <v>1</v>
      </c>
      <c r="E17" s="2" t="s">
        <v>44</v>
      </c>
      <c r="F17" s="2" t="s">
        <v>51</v>
      </c>
    </row>
    <row r="18" spans="1:6" ht="12.75" x14ac:dyDescent="0.2">
      <c r="B18" s="4"/>
      <c r="C18" s="5"/>
      <c r="D18" s="5"/>
      <c r="E18" s="4"/>
    </row>
    <row r="19" spans="1:6" ht="12.75" x14ac:dyDescent="0.2">
      <c r="B19" s="4"/>
      <c r="C19" s="5"/>
      <c r="D19" s="5"/>
      <c r="E1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"/>
  <sheetViews>
    <sheetView workbookViewId="0">
      <pane ySplit="1" topLeftCell="A2" activePane="bottomLeft" state="frozen"/>
      <selection pane="bottomLeft" activeCell="B16" sqref="B16"/>
    </sheetView>
  </sheetViews>
  <sheetFormatPr baseColWidth="10" defaultColWidth="12.5703125" defaultRowHeight="15.75" customHeight="1" x14ac:dyDescent="0.2"/>
  <cols>
    <col min="2" max="2" width="24.140625" customWidth="1"/>
    <col min="3" max="3" width="25.5703125" customWidth="1"/>
  </cols>
  <sheetData>
    <row r="1" spans="1:3" ht="15.75" customHeight="1" x14ac:dyDescent="0.2">
      <c r="A1" s="1" t="s">
        <v>52</v>
      </c>
      <c r="B1" s="1" t="s">
        <v>53</v>
      </c>
      <c r="C1" s="1" t="s">
        <v>54</v>
      </c>
    </row>
    <row r="2" spans="1:3" ht="12.75" x14ac:dyDescent="0.2">
      <c r="A2" s="2" t="s">
        <v>55</v>
      </c>
      <c r="B2" s="3" t="s">
        <v>56</v>
      </c>
      <c r="C2" s="2" t="s">
        <v>57</v>
      </c>
    </row>
    <row r="3" spans="1:3" ht="12.75" x14ac:dyDescent="0.2">
      <c r="A3" s="2" t="s">
        <v>58</v>
      </c>
      <c r="B3" s="2" t="s">
        <v>59</v>
      </c>
      <c r="C3" s="2" t="s">
        <v>60</v>
      </c>
    </row>
    <row r="4" spans="1:3" ht="12.75" x14ac:dyDescent="0.2">
      <c r="A4" s="2" t="s">
        <v>61</v>
      </c>
      <c r="B4" s="3" t="s">
        <v>62</v>
      </c>
      <c r="C4" s="2" t="s">
        <v>63</v>
      </c>
    </row>
    <row r="5" spans="1:3" ht="12.75" x14ac:dyDescent="0.2">
      <c r="A5" s="2" t="s">
        <v>64</v>
      </c>
      <c r="B5" s="3" t="s">
        <v>65</v>
      </c>
      <c r="C5" s="2" t="s">
        <v>66</v>
      </c>
    </row>
    <row r="6" spans="1:3" ht="12.75" x14ac:dyDescent="0.2">
      <c r="A6" s="2" t="s">
        <v>67</v>
      </c>
      <c r="B6" s="3" t="s">
        <v>62</v>
      </c>
    </row>
    <row r="7" spans="1:3" ht="12.75" x14ac:dyDescent="0.2">
      <c r="A7" s="2" t="s">
        <v>68</v>
      </c>
      <c r="B7" s="3" t="s">
        <v>69</v>
      </c>
    </row>
    <row r="8" spans="1:3" ht="12.75" x14ac:dyDescent="0.2">
      <c r="A8" s="2" t="s">
        <v>70</v>
      </c>
      <c r="B8" s="3" t="s">
        <v>71</v>
      </c>
    </row>
    <row r="9" spans="1:3" ht="12.75" x14ac:dyDescent="0.2">
      <c r="A9" s="2" t="s">
        <v>72</v>
      </c>
      <c r="B9" s="2" t="s">
        <v>73</v>
      </c>
    </row>
    <row r="10" spans="1:3" ht="12.75" x14ac:dyDescent="0.2">
      <c r="A10" s="2" t="s">
        <v>74</v>
      </c>
      <c r="B10" s="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12.5703125" defaultRowHeight="15.75" customHeight="1" x14ac:dyDescent="0.2"/>
  <sheetData>
    <row r="1" spans="1:4" ht="15.75" customHeight="1" x14ac:dyDescent="0.2">
      <c r="A1" s="1" t="s">
        <v>76</v>
      </c>
      <c r="B1" s="1" t="s">
        <v>77</v>
      </c>
      <c r="C1" s="1" t="s">
        <v>78</v>
      </c>
      <c r="D1" s="1" t="s">
        <v>79</v>
      </c>
    </row>
    <row r="5" spans="1:4" ht="12.75" x14ac:dyDescent="0.2">
      <c r="A5" s="3" t="s">
        <v>23</v>
      </c>
      <c r="B5" s="12">
        <v>0</v>
      </c>
      <c r="C5" s="2" t="s">
        <v>80</v>
      </c>
      <c r="D5" s="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sheetData>
    <row r="1" spans="1:26" ht="15.75" customHeight="1" x14ac:dyDescent="0.2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</row>
    <row r="2" spans="1:26" ht="12.75" x14ac:dyDescent="0.2">
      <c r="A2" s="2" t="s">
        <v>108</v>
      </c>
      <c r="B2" s="2">
        <v>-30</v>
      </c>
      <c r="C2" s="2">
        <v>-25</v>
      </c>
      <c r="D2" s="2">
        <v>-20</v>
      </c>
      <c r="E2" s="2">
        <v>-15</v>
      </c>
      <c r="F2" s="2">
        <v>-10</v>
      </c>
      <c r="G2" s="2">
        <v>-5</v>
      </c>
      <c r="H2" s="2">
        <v>0</v>
      </c>
      <c r="I2" s="2">
        <v>5</v>
      </c>
      <c r="J2" s="2">
        <v>10</v>
      </c>
      <c r="K2" s="2">
        <v>15</v>
      </c>
      <c r="L2" s="2">
        <v>20</v>
      </c>
      <c r="M2" s="2">
        <v>25</v>
      </c>
      <c r="N2" s="2">
        <v>30</v>
      </c>
      <c r="O2" s="2">
        <v>35</v>
      </c>
      <c r="P2" s="2">
        <v>40</v>
      </c>
      <c r="Q2" s="2">
        <v>45</v>
      </c>
      <c r="R2" s="2">
        <v>50</v>
      </c>
      <c r="S2" s="2">
        <v>55</v>
      </c>
      <c r="T2" s="2">
        <v>60</v>
      </c>
      <c r="U2" s="2">
        <v>65</v>
      </c>
      <c r="V2" s="2">
        <v>70</v>
      </c>
      <c r="W2" s="2">
        <v>75</v>
      </c>
      <c r="X2" s="2">
        <v>80</v>
      </c>
      <c r="Y2" s="2">
        <v>85</v>
      </c>
      <c r="Z2" s="2">
        <v>90</v>
      </c>
    </row>
    <row r="3" spans="1:26" ht="12.75" x14ac:dyDescent="0.2">
      <c r="A3" s="2" t="s">
        <v>109</v>
      </c>
    </row>
    <row r="9" spans="1:26" ht="12.75" x14ac:dyDescent="0.2">
      <c r="A9" s="2" t="s">
        <v>110</v>
      </c>
    </row>
    <row r="15" spans="1:26" ht="12.75" x14ac:dyDescent="0.2">
      <c r="A15" s="2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9"/>
  <sheetViews>
    <sheetView workbookViewId="0">
      <pane ySplit="1" topLeftCell="A2" activePane="bottomLeft" state="frozen"/>
      <selection pane="bottomLeft" activeCell="E23" sqref="E23"/>
    </sheetView>
  </sheetViews>
  <sheetFormatPr baseColWidth="10" defaultColWidth="12.5703125" defaultRowHeight="15.75" customHeight="1" x14ac:dyDescent="0.2"/>
  <sheetData>
    <row r="1" spans="1:9" ht="15.75" customHeight="1" x14ac:dyDescent="0.2">
      <c r="A1" s="1" t="s">
        <v>112</v>
      </c>
      <c r="B1" s="1" t="s">
        <v>79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</row>
    <row r="2" spans="1:9" ht="12.75" x14ac:dyDescent="0.2">
      <c r="A2" s="2" t="s">
        <v>120</v>
      </c>
      <c r="B2" s="2" t="s">
        <v>121</v>
      </c>
      <c r="G2" s="2" t="s">
        <v>122</v>
      </c>
      <c r="H2" s="2" t="s">
        <v>123</v>
      </c>
      <c r="I2" s="2" t="s">
        <v>124</v>
      </c>
    </row>
    <row r="3" spans="1:9" ht="12.75" x14ac:dyDescent="0.2">
      <c r="A3" s="2" t="s">
        <v>120</v>
      </c>
      <c r="B3" s="2" t="s">
        <v>125</v>
      </c>
      <c r="G3" s="2" t="s">
        <v>126</v>
      </c>
      <c r="H3" s="2" t="s">
        <v>127</v>
      </c>
      <c r="I3" s="2" t="s">
        <v>124</v>
      </c>
    </row>
    <row r="4" spans="1:9" ht="12.75" x14ac:dyDescent="0.2">
      <c r="A4" s="2" t="s">
        <v>120</v>
      </c>
      <c r="B4" s="2" t="s">
        <v>128</v>
      </c>
      <c r="G4" s="2" t="s">
        <v>129</v>
      </c>
      <c r="H4" s="2" t="s">
        <v>130</v>
      </c>
      <c r="I4" s="2" t="s">
        <v>124</v>
      </c>
    </row>
    <row r="5" spans="1:9" ht="12.75" x14ac:dyDescent="0.2">
      <c r="A5" s="2" t="s">
        <v>131</v>
      </c>
      <c r="B5" s="2" t="s">
        <v>132</v>
      </c>
      <c r="C5" s="2" t="s">
        <v>133</v>
      </c>
      <c r="G5" s="2" t="s">
        <v>134</v>
      </c>
      <c r="H5" s="2" t="s">
        <v>135</v>
      </c>
      <c r="I5" s="2" t="s">
        <v>124</v>
      </c>
    </row>
    <row r="6" spans="1:9" ht="12.75" x14ac:dyDescent="0.2">
      <c r="A6" s="2" t="s">
        <v>131</v>
      </c>
      <c r="B6" s="2" t="s">
        <v>136</v>
      </c>
      <c r="G6" s="2" t="s">
        <v>137</v>
      </c>
      <c r="H6" s="2" t="s">
        <v>138</v>
      </c>
      <c r="I6" s="2" t="s">
        <v>124</v>
      </c>
    </row>
    <row r="7" spans="1:9" ht="12.75" x14ac:dyDescent="0.2">
      <c r="A7" s="2" t="s">
        <v>139</v>
      </c>
      <c r="B7" s="2" t="s">
        <v>140</v>
      </c>
      <c r="G7" s="2" t="s">
        <v>141</v>
      </c>
      <c r="H7" s="2" t="s">
        <v>142</v>
      </c>
      <c r="I7" s="2" t="s">
        <v>124</v>
      </c>
    </row>
    <row r="8" spans="1:9" ht="12.75" x14ac:dyDescent="0.2">
      <c r="A8" s="2" t="s">
        <v>143</v>
      </c>
      <c r="B8" s="2" t="s">
        <v>144</v>
      </c>
      <c r="G8" s="2" t="s">
        <v>145</v>
      </c>
      <c r="H8" s="2" t="s">
        <v>146</v>
      </c>
      <c r="I8" s="2" t="s">
        <v>124</v>
      </c>
    </row>
    <row r="9" spans="1:9" ht="12.75" x14ac:dyDescent="0.2">
      <c r="A9" s="2" t="s">
        <v>139</v>
      </c>
      <c r="B9" s="2" t="s">
        <v>147</v>
      </c>
      <c r="G9" s="2" t="s">
        <v>148</v>
      </c>
      <c r="H9" s="2" t="s">
        <v>149</v>
      </c>
      <c r="I9" s="2" t="s">
        <v>124</v>
      </c>
    </row>
    <row r="10" spans="1:9" ht="12.75" x14ac:dyDescent="0.2">
      <c r="A10" s="2" t="s">
        <v>150</v>
      </c>
      <c r="B10" s="2" t="s">
        <v>151</v>
      </c>
      <c r="C10" s="2" t="s">
        <v>152</v>
      </c>
      <c r="G10" s="2" t="s">
        <v>153</v>
      </c>
      <c r="H10" s="2" t="s">
        <v>154</v>
      </c>
      <c r="I10" s="2" t="s">
        <v>124</v>
      </c>
    </row>
    <row r="11" spans="1:9" ht="12.75" x14ac:dyDescent="0.2">
      <c r="A11" s="2" t="s">
        <v>150</v>
      </c>
      <c r="B11" s="2" t="s">
        <v>155</v>
      </c>
      <c r="C11" s="2" t="s">
        <v>152</v>
      </c>
      <c r="G11" s="2" t="s">
        <v>156</v>
      </c>
      <c r="H11" s="2" t="s">
        <v>157</v>
      </c>
      <c r="I11" s="2" t="s">
        <v>124</v>
      </c>
    </row>
    <row r="12" spans="1:9" ht="12.75" x14ac:dyDescent="0.2">
      <c r="A12" s="2" t="s">
        <v>150</v>
      </c>
      <c r="B12" s="2" t="s">
        <v>158</v>
      </c>
      <c r="C12" s="2" t="s">
        <v>159</v>
      </c>
      <c r="G12" s="2" t="s">
        <v>160</v>
      </c>
      <c r="H12" s="2" t="s">
        <v>161</v>
      </c>
      <c r="I12" s="2" t="s">
        <v>124</v>
      </c>
    </row>
    <row r="13" spans="1:9" ht="12.75" x14ac:dyDescent="0.2">
      <c r="A13" s="2" t="s">
        <v>162</v>
      </c>
      <c r="B13" s="2" t="s">
        <v>163</v>
      </c>
      <c r="C13" s="2" t="s">
        <v>164</v>
      </c>
      <c r="G13" s="2" t="s">
        <v>165</v>
      </c>
      <c r="H13" s="2" t="s">
        <v>166</v>
      </c>
      <c r="I13" s="2" t="s">
        <v>124</v>
      </c>
    </row>
    <row r="14" spans="1:9" ht="12.75" x14ac:dyDescent="0.2">
      <c r="A14" s="2" t="s">
        <v>162</v>
      </c>
      <c r="B14" s="2" t="s">
        <v>167</v>
      </c>
      <c r="C14" s="2" t="s">
        <v>164</v>
      </c>
      <c r="G14" s="2" t="s">
        <v>168</v>
      </c>
      <c r="H14" s="2" t="s">
        <v>169</v>
      </c>
      <c r="I14" s="2" t="s">
        <v>124</v>
      </c>
    </row>
    <row r="15" spans="1:9" ht="12.75" x14ac:dyDescent="0.2">
      <c r="A15" s="2" t="s">
        <v>170</v>
      </c>
      <c r="B15" s="2" t="s">
        <v>171</v>
      </c>
      <c r="C15" s="2" t="s">
        <v>172</v>
      </c>
      <c r="G15" s="2" t="s">
        <v>173</v>
      </c>
      <c r="H15" s="2" t="s">
        <v>174</v>
      </c>
      <c r="I15" s="2" t="s">
        <v>124</v>
      </c>
    </row>
    <row r="16" spans="1:9" ht="12.75" x14ac:dyDescent="0.2">
      <c r="A16" s="2" t="s">
        <v>170</v>
      </c>
      <c r="B16" s="2" t="s">
        <v>175</v>
      </c>
      <c r="C16" s="2" t="s">
        <v>176</v>
      </c>
      <c r="G16" s="2" t="s">
        <v>177</v>
      </c>
      <c r="H16" s="2" t="s">
        <v>178</v>
      </c>
      <c r="I16" s="2" t="s">
        <v>124</v>
      </c>
    </row>
    <row r="17" spans="1:9" ht="12.75" x14ac:dyDescent="0.2">
      <c r="A17" s="2" t="s">
        <v>179</v>
      </c>
      <c r="B17" s="2" t="s">
        <v>180</v>
      </c>
      <c r="C17" s="2" t="s">
        <v>152</v>
      </c>
      <c r="G17" s="2" t="s">
        <v>181</v>
      </c>
      <c r="H17" s="2" t="s">
        <v>182</v>
      </c>
      <c r="I17" s="2" t="s">
        <v>124</v>
      </c>
    </row>
    <row r="18" spans="1:9" ht="12.75" x14ac:dyDescent="0.2">
      <c r="A18" s="2" t="s">
        <v>179</v>
      </c>
      <c r="B18" s="2" t="s">
        <v>183</v>
      </c>
      <c r="G18" s="2" t="s">
        <v>184</v>
      </c>
      <c r="H18" s="2" t="s">
        <v>185</v>
      </c>
      <c r="I18" s="2" t="s">
        <v>124</v>
      </c>
    </row>
    <row r="19" spans="1:9" ht="12.75" x14ac:dyDescent="0.2">
      <c r="A19" s="2" t="s">
        <v>179</v>
      </c>
      <c r="B19" s="2" t="s">
        <v>186</v>
      </c>
      <c r="G19" s="2" t="s">
        <v>187</v>
      </c>
      <c r="H19" s="2" t="s">
        <v>188</v>
      </c>
      <c r="I19" s="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7"/>
  <sheetViews>
    <sheetView workbookViewId="0">
      <pane ySplit="1" topLeftCell="A2" activePane="bottomLeft" state="frozen"/>
      <selection pane="bottomLeft" activeCell="C23" sqref="C23"/>
    </sheetView>
  </sheetViews>
  <sheetFormatPr baseColWidth="10" defaultColWidth="12.5703125" defaultRowHeight="15.75" customHeight="1" x14ac:dyDescent="0.2"/>
  <cols>
    <col min="1" max="1" width="15.140625" customWidth="1"/>
    <col min="4" max="4" width="21.42578125" customWidth="1"/>
  </cols>
  <sheetData>
    <row r="1" spans="1:25" ht="15.75" customHeight="1" x14ac:dyDescent="0.2">
      <c r="A1" s="1" t="s">
        <v>74</v>
      </c>
      <c r="B1" s="10" t="s">
        <v>189</v>
      </c>
      <c r="C1" s="1" t="s">
        <v>190</v>
      </c>
      <c r="D1" s="9" t="s">
        <v>54</v>
      </c>
      <c r="E1" s="1" t="s">
        <v>191</v>
      </c>
      <c r="F1" s="1" t="s">
        <v>61</v>
      </c>
      <c r="G1" s="1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7" t="s">
        <v>47</v>
      </c>
      <c r="Y1" s="8" t="s">
        <v>50</v>
      </c>
    </row>
    <row r="2" spans="1:25" ht="12.75" x14ac:dyDescent="0.2">
      <c r="A2" s="2" t="s">
        <v>209</v>
      </c>
      <c r="B2" s="2">
        <v>1001</v>
      </c>
      <c r="C2" s="2">
        <v>4</v>
      </c>
      <c r="D2" s="2" t="s">
        <v>66</v>
      </c>
      <c r="E2" s="2">
        <v>1</v>
      </c>
      <c r="F2" s="2">
        <v>3</v>
      </c>
      <c r="G2" s="2">
        <v>25</v>
      </c>
      <c r="H2" s="2">
        <v>1</v>
      </c>
      <c r="I2" s="2">
        <v>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</v>
      </c>
      <c r="W2" s="2">
        <v>0</v>
      </c>
      <c r="X2" s="6">
        <f t="shared" ref="X2:X17" si="0">(SUM(J2:W2)/G2)*100</f>
        <v>4</v>
      </c>
      <c r="Y2" s="6">
        <f t="shared" ref="Y2:Y17" si="1">(K2/1) + (L2/2) + (M2/3) + (N2/4) + (O2/5) + (P2/6) + (Q2/7) + (R2/8) + (S2/9) + (T2/10) + (U2/11) + (V2/12) + (W2/13)</f>
        <v>8.3333333333333329E-2</v>
      </c>
    </row>
    <row r="3" spans="1:25" ht="12.75" x14ac:dyDescent="0.2">
      <c r="A3" s="2" t="s">
        <v>210</v>
      </c>
      <c r="B3" s="2">
        <v>1002</v>
      </c>
      <c r="C3" s="2">
        <v>2</v>
      </c>
      <c r="D3" s="2" t="s">
        <v>60</v>
      </c>
      <c r="E3" s="2">
        <v>2</v>
      </c>
      <c r="F3" s="2">
        <v>4</v>
      </c>
      <c r="G3" s="2">
        <v>25</v>
      </c>
      <c r="H3" s="2">
        <v>1</v>
      </c>
      <c r="I3" s="2">
        <v>2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1</v>
      </c>
      <c r="W3" s="2">
        <v>0</v>
      </c>
      <c r="X3" s="6">
        <f t="shared" si="0"/>
        <v>8</v>
      </c>
      <c r="Y3" s="6">
        <f t="shared" si="1"/>
        <v>0.18333333333333335</v>
      </c>
    </row>
    <row r="4" spans="1:25" ht="12.75" x14ac:dyDescent="0.2">
      <c r="A4" s="2" t="s">
        <v>211</v>
      </c>
      <c r="B4" s="2">
        <v>1003</v>
      </c>
      <c r="C4" s="2">
        <v>2</v>
      </c>
      <c r="D4" s="2" t="s">
        <v>60</v>
      </c>
      <c r="E4" s="2">
        <v>3</v>
      </c>
      <c r="F4" s="2">
        <v>1</v>
      </c>
      <c r="G4" s="2">
        <v>25</v>
      </c>
      <c r="H4" s="2">
        <v>1</v>
      </c>
      <c r="I4" s="2">
        <v>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2">
        <v>0</v>
      </c>
      <c r="X4" s="6">
        <f t="shared" si="0"/>
        <v>4</v>
      </c>
      <c r="Y4" s="6">
        <f t="shared" si="1"/>
        <v>9.0909090909090912E-2</v>
      </c>
    </row>
    <row r="5" spans="1:25" ht="12.75" x14ac:dyDescent="0.2">
      <c r="A5" s="2" t="s">
        <v>212</v>
      </c>
      <c r="B5" s="2">
        <v>1004</v>
      </c>
      <c r="C5" s="2">
        <v>2</v>
      </c>
      <c r="D5" s="2" t="s">
        <v>60</v>
      </c>
      <c r="E5" s="2">
        <v>4</v>
      </c>
      <c r="F5" s="2">
        <v>2</v>
      </c>
      <c r="G5" s="2">
        <v>25</v>
      </c>
      <c r="H5" s="2">
        <v>1</v>
      </c>
      <c r="I5" s="2">
        <v>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3</v>
      </c>
      <c r="U5" s="2">
        <v>0</v>
      </c>
      <c r="V5" s="2">
        <v>2</v>
      </c>
      <c r="W5" s="2">
        <v>1</v>
      </c>
      <c r="X5" s="6">
        <f t="shared" si="0"/>
        <v>28.000000000000004</v>
      </c>
      <c r="Y5" s="6">
        <f t="shared" si="1"/>
        <v>0.6547008547008546</v>
      </c>
    </row>
    <row r="6" spans="1:25" ht="12.75" x14ac:dyDescent="0.2">
      <c r="A6" s="2" t="s">
        <v>213</v>
      </c>
      <c r="B6" s="2">
        <v>1005</v>
      </c>
      <c r="C6" s="2">
        <v>2</v>
      </c>
      <c r="D6" s="2" t="s">
        <v>60</v>
      </c>
      <c r="E6" s="2">
        <v>5</v>
      </c>
      <c r="F6" s="2">
        <v>3</v>
      </c>
      <c r="G6" s="2">
        <v>25</v>
      </c>
      <c r="H6" s="2">
        <v>2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2">
        <v>0</v>
      </c>
      <c r="X6" s="6">
        <f t="shared" si="0"/>
        <v>4</v>
      </c>
      <c r="Y6" s="6">
        <f t="shared" si="1"/>
        <v>8.3333333333333329E-2</v>
      </c>
    </row>
    <row r="7" spans="1:25" ht="12.75" x14ac:dyDescent="0.2">
      <c r="A7" s="2" t="s">
        <v>214</v>
      </c>
      <c r="B7" s="2">
        <v>1006</v>
      </c>
      <c r="C7" s="2">
        <v>4</v>
      </c>
      <c r="D7" s="2" t="s">
        <v>66</v>
      </c>
      <c r="E7" s="2">
        <v>6</v>
      </c>
      <c r="F7" s="2">
        <v>4</v>
      </c>
      <c r="G7" s="2">
        <v>25</v>
      </c>
      <c r="H7" s="2">
        <v>2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6">
        <f t="shared" si="0"/>
        <v>0</v>
      </c>
      <c r="Y7" s="6">
        <f t="shared" si="1"/>
        <v>0</v>
      </c>
    </row>
    <row r="8" spans="1:25" ht="12.75" x14ac:dyDescent="0.2">
      <c r="A8" s="2" t="s">
        <v>215</v>
      </c>
      <c r="B8" s="2">
        <v>1007</v>
      </c>
      <c r="C8" s="2">
        <v>1</v>
      </c>
      <c r="D8" s="2" t="s">
        <v>216</v>
      </c>
      <c r="E8" s="2">
        <v>7</v>
      </c>
      <c r="F8" s="2">
        <v>1</v>
      </c>
      <c r="G8" s="2">
        <v>25</v>
      </c>
      <c r="H8" s="2">
        <v>2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3</v>
      </c>
      <c r="U8" s="2">
        <v>2</v>
      </c>
      <c r="V8" s="2">
        <v>4</v>
      </c>
      <c r="W8" s="2">
        <v>1</v>
      </c>
      <c r="X8" s="6">
        <f t="shared" si="0"/>
        <v>48</v>
      </c>
      <c r="Y8" s="6">
        <f t="shared" si="1"/>
        <v>1.1142968142968142</v>
      </c>
    </row>
    <row r="9" spans="1:25" ht="12.75" x14ac:dyDescent="0.2">
      <c r="A9" s="2" t="s">
        <v>217</v>
      </c>
      <c r="B9" s="2">
        <v>1008</v>
      </c>
      <c r="C9" s="2">
        <v>1</v>
      </c>
      <c r="D9" s="2" t="s">
        <v>216</v>
      </c>
      <c r="E9" s="2">
        <v>8</v>
      </c>
      <c r="F9" s="2">
        <v>4</v>
      </c>
      <c r="G9" s="2">
        <v>25</v>
      </c>
      <c r="H9" s="2">
        <v>2</v>
      </c>
      <c r="I9" s="2">
        <v>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2</v>
      </c>
      <c r="U9" s="2">
        <v>2</v>
      </c>
      <c r="V9" s="2">
        <v>4</v>
      </c>
      <c r="W9" s="2">
        <v>4</v>
      </c>
      <c r="X9" s="6">
        <f t="shared" si="0"/>
        <v>52</v>
      </c>
      <c r="Y9" s="6">
        <f t="shared" si="1"/>
        <v>1.133954933954934</v>
      </c>
    </row>
    <row r="10" spans="1:25" ht="12.75" x14ac:dyDescent="0.2">
      <c r="A10" s="2" t="s">
        <v>218</v>
      </c>
      <c r="B10" s="2">
        <v>1009</v>
      </c>
      <c r="C10" s="2">
        <v>3</v>
      </c>
      <c r="D10" s="2" t="s">
        <v>219</v>
      </c>
      <c r="E10" s="2">
        <v>9</v>
      </c>
      <c r="F10" s="2">
        <v>2</v>
      </c>
      <c r="G10" s="2">
        <v>25</v>
      </c>
      <c r="H10" s="2">
        <v>3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2</v>
      </c>
      <c r="T10" s="2">
        <v>1</v>
      </c>
      <c r="U10" s="2">
        <v>2</v>
      </c>
      <c r="V10" s="2">
        <v>3</v>
      </c>
      <c r="W10" s="2">
        <v>3</v>
      </c>
      <c r="X10" s="6">
        <f t="shared" si="0"/>
        <v>44</v>
      </c>
      <c r="Y10" s="6">
        <f t="shared" si="1"/>
        <v>0.9848096348096349</v>
      </c>
    </row>
    <row r="11" spans="1:25" ht="12.75" x14ac:dyDescent="0.2">
      <c r="A11" s="2" t="s">
        <v>220</v>
      </c>
      <c r="B11" s="2">
        <v>1010</v>
      </c>
      <c r="C11" s="2">
        <v>3</v>
      </c>
      <c r="D11" s="2" t="s">
        <v>219</v>
      </c>
      <c r="E11" s="2">
        <v>10</v>
      </c>
      <c r="F11" s="2">
        <v>3</v>
      </c>
      <c r="G11" s="2">
        <v>25</v>
      </c>
      <c r="H11" s="2">
        <v>3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</v>
      </c>
      <c r="T11" s="2">
        <v>1</v>
      </c>
      <c r="U11" s="2">
        <v>3</v>
      </c>
      <c r="V11" s="2">
        <v>2</v>
      </c>
      <c r="W11" s="2">
        <v>2</v>
      </c>
      <c r="X11" s="6">
        <f t="shared" si="0"/>
        <v>40</v>
      </c>
      <c r="Y11" s="6">
        <f t="shared" si="1"/>
        <v>0.91546231546231538</v>
      </c>
    </row>
    <row r="12" spans="1:25" ht="12.75" x14ac:dyDescent="0.2">
      <c r="A12" s="2" t="s">
        <v>221</v>
      </c>
      <c r="B12" s="2">
        <v>1011</v>
      </c>
      <c r="C12" s="2">
        <v>4</v>
      </c>
      <c r="D12" s="2" t="s">
        <v>66</v>
      </c>
      <c r="E12" s="2">
        <v>11</v>
      </c>
      <c r="F12" s="2">
        <v>2</v>
      </c>
      <c r="G12" s="2">
        <v>25</v>
      </c>
      <c r="H12" s="2">
        <v>3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6">
        <f t="shared" si="0"/>
        <v>0</v>
      </c>
      <c r="Y12" s="6">
        <f t="shared" si="1"/>
        <v>0</v>
      </c>
    </row>
    <row r="13" spans="1:25" ht="12.75" x14ac:dyDescent="0.2">
      <c r="A13" s="2" t="s">
        <v>222</v>
      </c>
      <c r="B13" s="2">
        <v>1012</v>
      </c>
      <c r="C13" s="2">
        <v>3</v>
      </c>
      <c r="D13" s="2" t="s">
        <v>219</v>
      </c>
      <c r="E13" s="2">
        <v>12</v>
      </c>
      <c r="F13" s="2">
        <v>4</v>
      </c>
      <c r="G13" s="2">
        <v>25</v>
      </c>
      <c r="H13" s="2">
        <v>3</v>
      </c>
      <c r="I13" s="2">
        <v>4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</v>
      </c>
      <c r="U13" s="2">
        <v>1</v>
      </c>
      <c r="V13" s="2">
        <v>2</v>
      </c>
      <c r="W13" s="2">
        <v>1</v>
      </c>
      <c r="X13" s="6">
        <f t="shared" si="0"/>
        <v>24</v>
      </c>
      <c r="Y13" s="6">
        <f t="shared" si="1"/>
        <v>0.5344988344988344</v>
      </c>
    </row>
    <row r="14" spans="1:25" ht="12.75" x14ac:dyDescent="0.2">
      <c r="A14" s="2" t="s">
        <v>223</v>
      </c>
      <c r="B14" s="2">
        <v>1013</v>
      </c>
      <c r="C14" s="2">
        <v>4</v>
      </c>
      <c r="D14" s="2" t="s">
        <v>66</v>
      </c>
      <c r="E14" s="2">
        <v>13</v>
      </c>
      <c r="F14" s="2">
        <v>1</v>
      </c>
      <c r="G14" s="2">
        <v>25</v>
      </c>
      <c r="H14" s="2">
        <v>4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6">
        <f t="shared" si="0"/>
        <v>4</v>
      </c>
      <c r="Y14" s="6">
        <f t="shared" si="1"/>
        <v>7.6923076923076927E-2</v>
      </c>
    </row>
    <row r="15" spans="1:25" ht="12.75" x14ac:dyDescent="0.2">
      <c r="A15" s="2" t="s">
        <v>224</v>
      </c>
      <c r="B15" s="2">
        <v>1014</v>
      </c>
      <c r="C15" s="2">
        <v>1</v>
      </c>
      <c r="D15" s="2" t="s">
        <v>216</v>
      </c>
      <c r="E15" s="2">
        <v>14</v>
      </c>
      <c r="F15" s="2">
        <v>3</v>
      </c>
      <c r="G15" s="2">
        <v>25</v>
      </c>
      <c r="H15" s="2">
        <v>4</v>
      </c>
      <c r="I15" s="2">
        <v>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2</v>
      </c>
      <c r="U15" s="2">
        <v>3</v>
      </c>
      <c r="V15" s="2">
        <v>4</v>
      </c>
      <c r="W15" s="2">
        <v>4</v>
      </c>
      <c r="X15" s="6">
        <f t="shared" si="0"/>
        <v>64</v>
      </c>
      <c r="Y15" s="6">
        <f t="shared" si="1"/>
        <v>1.4470862470862471</v>
      </c>
    </row>
    <row r="16" spans="1:25" ht="12.75" x14ac:dyDescent="0.2">
      <c r="A16" s="2" t="s">
        <v>225</v>
      </c>
      <c r="B16" s="2">
        <v>1015</v>
      </c>
      <c r="C16" s="2">
        <v>1</v>
      </c>
      <c r="D16" s="2" t="s">
        <v>216</v>
      </c>
      <c r="E16" s="2">
        <v>15</v>
      </c>
      <c r="F16" s="2">
        <v>2</v>
      </c>
      <c r="G16" s="2">
        <v>25</v>
      </c>
      <c r="H16" s="2">
        <v>4</v>
      </c>
      <c r="I16" s="2">
        <v>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2</v>
      </c>
      <c r="U16" s="2">
        <v>3</v>
      </c>
      <c r="V16" s="2">
        <v>2</v>
      </c>
      <c r="W16" s="2">
        <v>3</v>
      </c>
      <c r="X16" s="6">
        <f t="shared" si="0"/>
        <v>44</v>
      </c>
      <c r="Y16" s="6">
        <f t="shared" si="1"/>
        <v>0.98127428127428118</v>
      </c>
    </row>
    <row r="17" spans="1:25" ht="12.75" x14ac:dyDescent="0.2">
      <c r="A17" s="2" t="s">
        <v>226</v>
      </c>
      <c r="B17" s="2">
        <v>1016</v>
      </c>
      <c r="C17" s="2">
        <v>3</v>
      </c>
      <c r="D17" s="2" t="s">
        <v>219</v>
      </c>
      <c r="E17" s="2">
        <v>16</v>
      </c>
      <c r="F17" s="2">
        <v>1</v>
      </c>
      <c r="G17" s="2">
        <v>25</v>
      </c>
      <c r="H17" s="2">
        <v>4</v>
      </c>
      <c r="I17" s="2">
        <v>4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</v>
      </c>
      <c r="T17" s="2">
        <v>1</v>
      </c>
      <c r="U17" s="2">
        <v>2</v>
      </c>
      <c r="V17" s="2">
        <v>2</v>
      </c>
      <c r="W17" s="2">
        <v>3</v>
      </c>
      <c r="X17" s="6">
        <f t="shared" si="0"/>
        <v>40</v>
      </c>
      <c r="Y17" s="6">
        <f t="shared" si="1"/>
        <v>0.90147630147630142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tabSelected="1"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info</vt:lpstr>
      <vt:lpstr>traits</vt:lpstr>
      <vt:lpstr>design</vt:lpstr>
      <vt:lpstr>logbook</vt:lpstr>
      <vt:lpstr>schedule</vt:lpstr>
      <vt:lpstr>budget</vt:lpstr>
      <vt:lpstr>fb</vt:lpstr>
      <vt:lpstr>sketch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Hermes Galoc Valqui</cp:lastModifiedBy>
  <dcterms:modified xsi:type="dcterms:W3CDTF">2026-05-25T16:51:52Z</dcterms:modified>
</cp:coreProperties>
</file>